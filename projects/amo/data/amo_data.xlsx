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 OUT" sheetId="1" r:id="rId5"/>
    <sheet state="visible" name="MS30A1 splice before" sheetId="2" r:id="rId6"/>
    <sheet state="visible" name="MS30A1 test #2" sheetId="3" r:id="rId7"/>
    <sheet state="visible" name="MS30A1 test #2 normalized" sheetId="4" r:id="rId8"/>
    <sheet state="visible" name="Copy of MS30A1 test #2 normaliz" sheetId="5" r:id="rId9"/>
    <sheet state="visible" name="SG1864L" sheetId="6" r:id="rId10"/>
    <sheet state="visible" name="SG1864L test #2" sheetId="7" r:id="rId11"/>
    <sheet state="visible" name="SG1744L" sheetId="8" r:id="rId12"/>
    <sheet state="visible" name="SG1744L test #2" sheetId="9" r:id="rId13"/>
    <sheet state="visible" name="SG1744L test #2 normalized" sheetId="10" r:id="rId14"/>
    <sheet state="visible" name="PS 12501500" sheetId="11" r:id="rId15"/>
    <sheet state="visible" name="length" sheetId="12" r:id="rId16"/>
  </sheets>
  <definedNames/>
  <calcPr/>
</workbook>
</file>

<file path=xl/sharedStrings.xml><?xml version="1.0" encoding="utf-8"?>
<sst xmlns="http://schemas.openxmlformats.org/spreadsheetml/2006/main" count="46" uniqueCount="19">
  <si>
    <t>Current</t>
  </si>
  <si>
    <t>MS30A1 P_1</t>
  </si>
  <si>
    <t>MS30A1 P_2</t>
  </si>
  <si>
    <t>SG1744L P_1</t>
  </si>
  <si>
    <t>SG1744L P_2</t>
  </si>
  <si>
    <t>Current (A)</t>
  </si>
  <si>
    <t>P_out (mW)</t>
  </si>
  <si>
    <t>ΔT (mK)</t>
  </si>
  <si>
    <t>BAD DATA POINT I ENDED LATE (at 40s)</t>
  </si>
  <si>
    <t>probably there was some air flux</t>
  </si>
  <si>
    <t>all these zeros are from me trying to press the button and failing fuh</t>
  </si>
  <si>
    <t>how bruh</t>
  </si>
  <si>
    <t>failed to lock it for a bit before this. now let's cook!</t>
  </si>
  <si>
    <t>my reaction was pretty delayed for this one so might be slightly bad data</t>
  </si>
  <si>
    <t>***on the second time testing with the new photodetector it still doesn't work</t>
  </si>
  <si>
    <t>Fiber</t>
  </si>
  <si>
    <t>Length of strip (cm)</t>
  </si>
  <si>
    <t>Length after strip (cm)</t>
  </si>
  <si>
    <t>MS30A1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</si>
</sst>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1" numFmtId="0" xfId="0" applyFont="1"/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3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3</v>
      </c>
      <c r="G1" s="1" t="s">
        <v>0</v>
      </c>
      <c r="H1" s="1" t="s">
        <v>4</v>
      </c>
    </row>
    <row r="2">
      <c r="A2" s="1">
        <v>0.4</v>
      </c>
      <c r="B2" s="1">
        <v>30.1</v>
      </c>
      <c r="C2" s="1">
        <v>0.4</v>
      </c>
      <c r="D2" s="1">
        <v>51.0</v>
      </c>
      <c r="E2" s="1">
        <v>0.4</v>
      </c>
      <c r="F2" s="1">
        <v>47.0</v>
      </c>
      <c r="G2" s="1">
        <v>0.4</v>
      </c>
      <c r="H2" s="1">
        <v>66.0</v>
      </c>
    </row>
    <row r="3">
      <c r="A3" s="1">
        <v>0.4</v>
      </c>
      <c r="B3" s="1">
        <v>31.0</v>
      </c>
      <c r="C3" s="1">
        <v>0.4</v>
      </c>
      <c r="D3" s="1">
        <v>52.0</v>
      </c>
      <c r="E3" s="1">
        <v>0.4</v>
      </c>
      <c r="F3" s="1">
        <v>48.0</v>
      </c>
      <c r="G3" s="1">
        <v>0.4</v>
      </c>
      <c r="H3" s="1">
        <v>66.0</v>
      </c>
    </row>
    <row r="4">
      <c r="A4" s="1">
        <v>0.41</v>
      </c>
      <c r="B4" s="1">
        <v>43.0</v>
      </c>
      <c r="C4" s="1">
        <v>0.41</v>
      </c>
      <c r="D4" s="1">
        <v>64.0</v>
      </c>
      <c r="E4" s="1">
        <v>0.41</v>
      </c>
      <c r="F4" s="1">
        <v>64.9</v>
      </c>
      <c r="G4" s="1">
        <v>0.42</v>
      </c>
      <c r="H4" s="1">
        <v>111.0</v>
      </c>
    </row>
    <row r="5">
      <c r="A5" s="1">
        <v>0.41</v>
      </c>
      <c r="B5" s="1">
        <v>43.8</v>
      </c>
      <c r="C5" s="1">
        <v>0.41</v>
      </c>
      <c r="D5" s="1">
        <v>68.0</v>
      </c>
      <c r="E5" s="1">
        <v>0.41</v>
      </c>
      <c r="F5" s="1">
        <v>65.0</v>
      </c>
      <c r="G5" s="1">
        <v>0.42</v>
      </c>
      <c r="H5" s="1">
        <v>112.0</v>
      </c>
    </row>
    <row r="6">
      <c r="A6" s="1">
        <v>0.41</v>
      </c>
      <c r="B6" s="1">
        <v>44.6</v>
      </c>
      <c r="C6" s="1">
        <v>0.41</v>
      </c>
      <c r="D6" s="1">
        <v>84.0</v>
      </c>
      <c r="E6" s="1">
        <v>0.42</v>
      </c>
      <c r="F6" s="1">
        <v>80.1</v>
      </c>
      <c r="G6" s="1">
        <v>0.44</v>
      </c>
      <c r="H6" s="1">
        <v>156.0</v>
      </c>
    </row>
    <row r="7">
      <c r="A7" s="1">
        <v>0.41</v>
      </c>
      <c r="B7" s="1">
        <v>45.2</v>
      </c>
      <c r="C7" s="1">
        <v>0.41</v>
      </c>
      <c r="D7" s="1">
        <v>82.0</v>
      </c>
      <c r="E7" s="1">
        <v>0.42</v>
      </c>
      <c r="F7" s="1">
        <v>80.3</v>
      </c>
      <c r="G7" s="1">
        <v>0.44</v>
      </c>
      <c r="H7" s="1">
        <v>154.0</v>
      </c>
    </row>
    <row r="8">
      <c r="A8" s="1">
        <v>0.42</v>
      </c>
      <c r="B8" s="1">
        <v>58.2</v>
      </c>
      <c r="C8" s="1">
        <v>0.42</v>
      </c>
      <c r="D8" s="1">
        <v>81.0</v>
      </c>
      <c r="E8" s="1">
        <v>0.43</v>
      </c>
      <c r="F8" s="1">
        <v>94.3</v>
      </c>
      <c r="G8" s="1">
        <v>0.46</v>
      </c>
      <c r="H8" s="1">
        <v>206.0</v>
      </c>
    </row>
    <row r="9">
      <c r="A9" s="1">
        <v>0.42</v>
      </c>
      <c r="B9" s="1">
        <v>56.4</v>
      </c>
      <c r="C9" s="1">
        <v>0.42</v>
      </c>
      <c r="D9" s="1">
        <v>100.0</v>
      </c>
      <c r="E9" s="1">
        <v>0.43</v>
      </c>
      <c r="F9" s="1">
        <v>95.2</v>
      </c>
      <c r="G9" s="1">
        <v>0.46</v>
      </c>
      <c r="H9" s="1">
        <v>205.0</v>
      </c>
    </row>
    <row r="10">
      <c r="A10" s="1">
        <v>0.42</v>
      </c>
      <c r="B10" s="1">
        <v>57.1</v>
      </c>
      <c r="C10" s="1">
        <v>0.42</v>
      </c>
      <c r="D10" s="1">
        <v>101.0</v>
      </c>
      <c r="E10" s="1">
        <v>0.44</v>
      </c>
      <c r="F10" s="1">
        <v>111.0</v>
      </c>
      <c r="G10" s="1">
        <v>0.47</v>
      </c>
      <c r="H10" s="1">
        <v>229.0</v>
      </c>
    </row>
    <row r="11">
      <c r="A11" s="1">
        <v>0.43</v>
      </c>
      <c r="B11" s="1">
        <v>68.0</v>
      </c>
      <c r="C11" s="1">
        <v>0.43</v>
      </c>
      <c r="D11" s="1">
        <v>119.0</v>
      </c>
      <c r="E11" s="1">
        <v>0.44</v>
      </c>
      <c r="F11" s="1">
        <v>111.0</v>
      </c>
      <c r="G11" s="1">
        <v>0.47</v>
      </c>
      <c r="H11" s="1">
        <v>230.0</v>
      </c>
    </row>
    <row r="12">
      <c r="A12" s="1">
        <v>0.43</v>
      </c>
      <c r="B12" s="1">
        <v>63.0</v>
      </c>
      <c r="C12" s="1">
        <v>0.43</v>
      </c>
      <c r="D12" s="1">
        <v>118.0</v>
      </c>
      <c r="E12" s="1">
        <v>0.45</v>
      </c>
      <c r="F12" s="1">
        <v>127.0</v>
      </c>
      <c r="G12" s="1">
        <v>0.48</v>
      </c>
      <c r="H12" s="1">
        <v>252.0</v>
      </c>
    </row>
    <row r="13">
      <c r="A13" s="1">
        <v>0.43</v>
      </c>
      <c r="B13" s="1">
        <v>67.5</v>
      </c>
      <c r="C13" s="1">
        <v>0.43</v>
      </c>
      <c r="D13" s="1">
        <v>135.0</v>
      </c>
      <c r="E13" s="1">
        <v>0.45</v>
      </c>
      <c r="F13" s="1">
        <v>127.0</v>
      </c>
      <c r="G13" s="1">
        <v>0.48</v>
      </c>
      <c r="H13" s="1">
        <v>253.0</v>
      </c>
    </row>
    <row r="14">
      <c r="A14" s="1">
        <v>0.44</v>
      </c>
      <c r="B14" s="1">
        <v>81.6</v>
      </c>
      <c r="C14" s="1">
        <v>0.44</v>
      </c>
      <c r="D14" s="1">
        <v>134.0</v>
      </c>
      <c r="E14" s="1">
        <v>0.46</v>
      </c>
      <c r="F14" s="1">
        <v>144.0</v>
      </c>
      <c r="G14" s="1">
        <v>0.5</v>
      </c>
      <c r="H14" s="1">
        <v>298.0</v>
      </c>
    </row>
    <row r="15">
      <c r="A15" s="1">
        <v>0.44</v>
      </c>
      <c r="B15" s="1">
        <v>81.1</v>
      </c>
      <c r="C15" s="1">
        <v>0.44</v>
      </c>
      <c r="D15" s="1">
        <v>155.0</v>
      </c>
      <c r="E15" s="1">
        <v>0.46</v>
      </c>
      <c r="F15" s="1">
        <v>145.0</v>
      </c>
      <c r="G15" s="1">
        <v>0.5</v>
      </c>
      <c r="H15" s="1">
        <v>299.0</v>
      </c>
    </row>
    <row r="16">
      <c r="A16" s="1">
        <v>0.44</v>
      </c>
      <c r="B16" s="1">
        <v>81.5</v>
      </c>
      <c r="C16" s="1">
        <v>0.44</v>
      </c>
      <c r="D16" s="1">
        <v>155.0</v>
      </c>
      <c r="E16" s="1">
        <v>0.47</v>
      </c>
      <c r="F16" s="1">
        <v>163.0</v>
      </c>
      <c r="G16" s="1">
        <v>0.52</v>
      </c>
      <c r="H16" s="1">
        <v>346.0</v>
      </c>
    </row>
    <row r="17">
      <c r="A17" s="1">
        <v>0.45</v>
      </c>
      <c r="B17" s="1">
        <v>95.4</v>
      </c>
      <c r="C17" s="1">
        <v>0.45</v>
      </c>
      <c r="D17" s="1">
        <v>174.0</v>
      </c>
      <c r="E17" s="1">
        <v>0.47</v>
      </c>
      <c r="F17" s="1">
        <v>163.0</v>
      </c>
      <c r="G17" s="1">
        <v>0.52</v>
      </c>
      <c r="H17" s="1">
        <v>345.0</v>
      </c>
    </row>
    <row r="18">
      <c r="A18" s="1">
        <v>0.45</v>
      </c>
      <c r="B18" s="1">
        <v>95.8</v>
      </c>
      <c r="C18" s="1">
        <v>0.45</v>
      </c>
      <c r="D18" s="1">
        <v>176.0</v>
      </c>
      <c r="E18" s="1">
        <v>0.48</v>
      </c>
      <c r="F18" s="1">
        <v>180.0</v>
      </c>
      <c r="G18" s="1">
        <v>0.54</v>
      </c>
      <c r="H18" s="1">
        <v>391.0</v>
      </c>
    </row>
    <row r="19">
      <c r="E19" s="1">
        <v>0.48</v>
      </c>
      <c r="F19" s="1">
        <v>180.0</v>
      </c>
      <c r="G19" s="1">
        <v>0.54</v>
      </c>
      <c r="H19" s="1">
        <v>397.0</v>
      </c>
    </row>
    <row r="20">
      <c r="E20" s="1">
        <v>0.49</v>
      </c>
      <c r="F20" s="1">
        <v>198.0</v>
      </c>
      <c r="G20" s="1">
        <v>0.56</v>
      </c>
      <c r="H20" s="1">
        <v>439.0</v>
      </c>
    </row>
    <row r="21">
      <c r="E21" s="1">
        <v>0.49</v>
      </c>
      <c r="F21" s="1">
        <v>197.0</v>
      </c>
      <c r="G21" s="1">
        <v>0.56</v>
      </c>
      <c r="H21" s="1">
        <v>442.0</v>
      </c>
    </row>
    <row r="22">
      <c r="E22" s="1">
        <v>0.5</v>
      </c>
      <c r="F22" s="1">
        <v>209.0</v>
      </c>
      <c r="G22" s="1">
        <v>0.58</v>
      </c>
      <c r="H22" s="1">
        <v>491.0</v>
      </c>
    </row>
    <row r="23">
      <c r="E23" s="1">
        <v>0.5</v>
      </c>
      <c r="F23" s="1">
        <v>213.0</v>
      </c>
      <c r="G23" s="1">
        <v>0.58</v>
      </c>
      <c r="H23" s="1">
        <v>491.0</v>
      </c>
    </row>
    <row r="24">
      <c r="E24" s="1">
        <v>0.52</v>
      </c>
      <c r="F24" s="1">
        <v>246.0</v>
      </c>
      <c r="G24" s="1">
        <v>0.6</v>
      </c>
      <c r="H24" s="1">
        <v>544.0</v>
      </c>
    </row>
    <row r="25">
      <c r="E25" s="1">
        <v>0.52</v>
      </c>
      <c r="F25" s="1">
        <v>246.0</v>
      </c>
      <c r="G25" s="1">
        <v>0.6</v>
      </c>
      <c r="H25" s="1">
        <v>543.0</v>
      </c>
    </row>
    <row r="26">
      <c r="E26" s="1">
        <v>0.54</v>
      </c>
      <c r="F26" s="1">
        <v>280.0</v>
      </c>
    </row>
    <row r="27">
      <c r="E27" s="1">
        <v>0.54</v>
      </c>
      <c r="F27" s="1">
        <v>280.0</v>
      </c>
    </row>
    <row r="28">
      <c r="E28" s="1">
        <v>0.56</v>
      </c>
      <c r="F28" s="1">
        <v>309.0</v>
      </c>
    </row>
    <row r="29">
      <c r="E29" s="1">
        <v>0.56</v>
      </c>
      <c r="F29" s="1">
        <v>309.0</v>
      </c>
    </row>
    <row r="30">
      <c r="E30" s="1">
        <v>0.58</v>
      </c>
      <c r="F30" s="1">
        <v>343.0</v>
      </c>
    </row>
    <row r="31">
      <c r="E31" s="1">
        <v>0.58</v>
      </c>
      <c r="F31" s="1">
        <v>345.0</v>
      </c>
    </row>
    <row r="32">
      <c r="E32" s="1">
        <v>0.6</v>
      </c>
      <c r="F32" s="1">
        <v>379.0</v>
      </c>
    </row>
    <row r="33">
      <c r="E33" s="1">
        <v>0.6</v>
      </c>
      <c r="F33" s="1">
        <v>379.0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</row>
    <row r="2">
      <c r="A2" s="1">
        <v>0.0</v>
      </c>
      <c r="B2" s="1">
        <v>0.0</v>
      </c>
      <c r="C2" s="1">
        <v>-3.6098</v>
      </c>
    </row>
    <row r="3">
      <c r="A3" s="1">
        <v>0.0</v>
      </c>
      <c r="B3" s="1">
        <v>0.0</v>
      </c>
      <c r="C3" s="1">
        <v>-2.4177</v>
      </c>
    </row>
    <row r="4">
      <c r="A4" s="1">
        <v>0.0</v>
      </c>
      <c r="B4" s="1">
        <v>0.0</v>
      </c>
      <c r="C4" s="1">
        <v>2.3645</v>
      </c>
    </row>
    <row r="5">
      <c r="A5" s="1">
        <v>0.4</v>
      </c>
      <c r="B5" s="1">
        <v>29.2</v>
      </c>
      <c r="C5" s="1">
        <v>40.5511</v>
      </c>
    </row>
    <row r="6">
      <c r="A6" s="1">
        <v>0.4</v>
      </c>
      <c r="B6" s="1">
        <v>30.1</v>
      </c>
      <c r="C6" s="1">
        <v>48.1544</v>
      </c>
    </row>
    <row r="7">
      <c r="A7" s="1">
        <v>0.4</v>
      </c>
      <c r="B7" s="1">
        <v>31.0</v>
      </c>
      <c r="C7" s="1">
        <v>43.4274</v>
      </c>
    </row>
    <row r="8">
      <c r="A8" s="1">
        <v>0.41</v>
      </c>
      <c r="B8" s="1">
        <v>43.0</v>
      </c>
      <c r="C8" s="1">
        <v>65.9117</v>
      </c>
    </row>
    <row r="9">
      <c r="A9" s="1">
        <v>0.41</v>
      </c>
      <c r="B9" s="1">
        <v>43.8</v>
      </c>
      <c r="C9" s="1">
        <v>62.1065</v>
      </c>
      <c r="D9" s="3" t="s">
        <v>8</v>
      </c>
      <c r="E9" s="4"/>
      <c r="F9" s="4"/>
    </row>
    <row r="10">
      <c r="A10" s="1">
        <v>0.41</v>
      </c>
      <c r="B10" s="1">
        <v>44.6</v>
      </c>
      <c r="C10" s="1">
        <v>67.6579</v>
      </c>
    </row>
    <row r="11">
      <c r="A11" s="1">
        <v>0.41</v>
      </c>
      <c r="B11" s="1">
        <v>45.2</v>
      </c>
      <c r="C11" s="1">
        <v>67.5341</v>
      </c>
    </row>
    <row r="12">
      <c r="A12" s="1">
        <v>0.42</v>
      </c>
      <c r="B12" s="1">
        <v>58.2</v>
      </c>
      <c r="C12" s="1">
        <v>83.4225</v>
      </c>
    </row>
    <row r="13">
      <c r="A13" s="1">
        <v>0.42</v>
      </c>
      <c r="B13" s="1">
        <v>56.4</v>
      </c>
      <c r="C13" s="1">
        <v>91.8153</v>
      </c>
    </row>
    <row r="14">
      <c r="A14" s="1">
        <v>0.42</v>
      </c>
      <c r="B14" s="1">
        <v>57.1</v>
      </c>
      <c r="C14" s="1">
        <v>78.9277</v>
      </c>
    </row>
    <row r="15">
      <c r="A15" s="1">
        <v>0.43</v>
      </c>
      <c r="B15" s="1">
        <v>68.0</v>
      </c>
      <c r="C15" s="1">
        <v>94.3764</v>
      </c>
    </row>
    <row r="16">
      <c r="A16" s="1">
        <v>0.43</v>
      </c>
      <c r="B16" s="1">
        <v>63.0</v>
      </c>
      <c r="C16" s="1">
        <v>95.2353</v>
      </c>
    </row>
    <row r="17">
      <c r="A17" s="1">
        <v>0.43</v>
      </c>
      <c r="B17" s="1">
        <v>67.5</v>
      </c>
      <c r="C17" s="1">
        <v>94.271</v>
      </c>
    </row>
    <row r="18">
      <c r="A18" s="1">
        <v>0.44</v>
      </c>
      <c r="B18" s="1">
        <v>81.6</v>
      </c>
      <c r="C18" s="1">
        <v>110.032</v>
      </c>
    </row>
    <row r="19">
      <c r="A19" s="1">
        <v>0.44</v>
      </c>
      <c r="B19" s="1">
        <v>81.1</v>
      </c>
      <c r="C19" s="1">
        <v>126.7827</v>
      </c>
    </row>
    <row r="20">
      <c r="A20" s="1">
        <v>0.44</v>
      </c>
      <c r="B20" s="1">
        <v>81.5</v>
      </c>
      <c r="C20" s="1">
        <v>121.114</v>
      </c>
    </row>
    <row r="21">
      <c r="A21" s="1">
        <v>0.45</v>
      </c>
      <c r="B21" s="1">
        <v>95.4</v>
      </c>
      <c r="C21" s="1">
        <v>141.6493</v>
      </c>
    </row>
    <row r="22">
      <c r="A22" s="1">
        <v>0.45</v>
      </c>
      <c r="B22" s="1">
        <v>95.8</v>
      </c>
      <c r="C22" s="1">
        <v>138.2283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</row>
    <row r="2">
      <c r="A2" s="1">
        <v>0.0</v>
      </c>
      <c r="B2" s="1">
        <v>0.0</v>
      </c>
      <c r="C2" s="1">
        <v>0.55671</v>
      </c>
    </row>
    <row r="3">
      <c r="A3" s="1">
        <v>0.0</v>
      </c>
      <c r="B3" s="1">
        <v>0.0</v>
      </c>
      <c r="C3" s="1">
        <v>15.159</v>
      </c>
    </row>
    <row r="4">
      <c r="A4" s="1">
        <v>0.0</v>
      </c>
      <c r="B4" s="1">
        <v>0.0</v>
      </c>
      <c r="C4" s="5">
        <v>-3.5488</v>
      </c>
    </row>
    <row r="5">
      <c r="A5" s="1">
        <v>0.4</v>
      </c>
      <c r="B5" s="1">
        <v>51.0</v>
      </c>
      <c r="C5" s="1">
        <v>59.8891</v>
      </c>
    </row>
    <row r="6">
      <c r="A6" s="1">
        <v>0.4</v>
      </c>
      <c r="B6" s="1">
        <v>52.0</v>
      </c>
      <c r="C6" s="1">
        <v>58.1427</v>
      </c>
    </row>
    <row r="7">
      <c r="A7" s="1">
        <v>0.41</v>
      </c>
      <c r="B7" s="1">
        <v>64.0</v>
      </c>
      <c r="C7" s="1">
        <v>67.149</v>
      </c>
    </row>
    <row r="8">
      <c r="A8" s="1">
        <v>0.41</v>
      </c>
      <c r="B8" s="1">
        <v>68.0</v>
      </c>
      <c r="C8" s="1">
        <v>63.5895</v>
      </c>
    </row>
    <row r="9">
      <c r="A9" s="1">
        <v>0.42</v>
      </c>
      <c r="B9" s="1">
        <v>84.0</v>
      </c>
      <c r="C9" s="1">
        <v>65.749</v>
      </c>
    </row>
    <row r="10">
      <c r="A10" s="1">
        <v>0.42</v>
      </c>
      <c r="B10" s="1">
        <v>82.0</v>
      </c>
      <c r="C10" s="1">
        <v>96.0166</v>
      </c>
    </row>
    <row r="11">
      <c r="A11" s="1">
        <v>0.42</v>
      </c>
      <c r="B11" s="1">
        <v>81.0</v>
      </c>
      <c r="C11" s="1">
        <v>85.5933</v>
      </c>
    </row>
    <row r="12">
      <c r="A12" s="1">
        <v>0.43</v>
      </c>
      <c r="B12" s="1">
        <v>100.0</v>
      </c>
      <c r="C12" s="1">
        <v>106.2596</v>
      </c>
    </row>
    <row r="13">
      <c r="A13" s="1">
        <v>0.43</v>
      </c>
      <c r="B13" s="1">
        <v>101.0</v>
      </c>
      <c r="C13" s="1">
        <v>111.8189</v>
      </c>
    </row>
    <row r="14">
      <c r="A14" s="1">
        <v>0.44</v>
      </c>
      <c r="B14" s="1">
        <v>119.0</v>
      </c>
      <c r="C14" s="1">
        <v>121.1994</v>
      </c>
    </row>
    <row r="15">
      <c r="A15" s="1">
        <v>0.44</v>
      </c>
      <c r="B15" s="1">
        <v>118.0</v>
      </c>
      <c r="C15" s="1">
        <v>128.6427</v>
      </c>
    </row>
    <row r="16">
      <c r="A16" s="1">
        <v>0.45</v>
      </c>
      <c r="B16" s="1">
        <v>135.0</v>
      </c>
      <c r="C16" s="1">
        <v>123.4441</v>
      </c>
    </row>
    <row r="17">
      <c r="A17" s="1">
        <v>0.45</v>
      </c>
      <c r="B17" s="1">
        <v>134.0</v>
      </c>
      <c r="C17" s="1">
        <v>121.5752</v>
      </c>
    </row>
    <row r="18">
      <c r="A18" s="1">
        <v>0.46</v>
      </c>
      <c r="B18" s="1">
        <v>155.0</v>
      </c>
      <c r="C18" s="1">
        <v>149.1136</v>
      </c>
    </row>
    <row r="19">
      <c r="A19" s="1">
        <v>0.46</v>
      </c>
      <c r="B19" s="1">
        <v>155.0</v>
      </c>
      <c r="C19" s="1">
        <v>149.5309</v>
      </c>
    </row>
    <row r="20">
      <c r="A20" s="1">
        <v>0.47</v>
      </c>
      <c r="B20" s="1">
        <v>174.0</v>
      </c>
      <c r="C20" s="1">
        <v>177.9989</v>
      </c>
    </row>
    <row r="21">
      <c r="A21" s="1">
        <v>0.47</v>
      </c>
      <c r="B21" s="1">
        <v>176.0</v>
      </c>
      <c r="C21" s="1">
        <v>170.9017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</row>
    <row r="2">
      <c r="A2" s="6">
        <f>'MS30A1 test #2'!A2</f>
        <v>0</v>
      </c>
      <c r="B2" s="7">
        <f>('MS30A1 test #2'!B2 / 1.94647965811)</f>
        <v>0</v>
      </c>
      <c r="C2" s="6">
        <f>'MS30A1 test #2'!C2</f>
        <v>0.55671</v>
      </c>
    </row>
    <row r="3">
      <c r="A3" s="6">
        <f>'MS30A1 test #2'!A3</f>
        <v>0</v>
      </c>
      <c r="B3" s="7">
        <f>('MS30A1 test #2'!B3 / 1.94647965811)</f>
        <v>0</v>
      </c>
      <c r="C3" s="6">
        <f>'MS30A1 test #2'!C3</f>
        <v>15.159</v>
      </c>
    </row>
    <row r="4">
      <c r="A4" s="6">
        <f>'MS30A1 test #2'!A4</f>
        <v>0</v>
      </c>
      <c r="B4" s="7">
        <f>('MS30A1 test #2'!B4 / 1.94647965811)</f>
        <v>0</v>
      </c>
      <c r="C4" s="8">
        <f>'MS30A1 test #2'!C4</f>
        <v>-3.5488</v>
      </c>
    </row>
    <row r="5">
      <c r="A5" s="6">
        <f>'MS30A1 test #2'!A5</f>
        <v>0.4</v>
      </c>
      <c r="B5" s="7">
        <f>('MS30A1 test #2'!B5 / 1.94647965811)</f>
        <v>26.20114718</v>
      </c>
      <c r="C5" s="6">
        <f>'MS30A1 test #2'!C5</f>
        <v>59.8891</v>
      </c>
    </row>
    <row r="6">
      <c r="A6" s="6">
        <f>'MS30A1 test #2'!A6</f>
        <v>0.4</v>
      </c>
      <c r="B6" s="7">
        <f>('MS30A1 test #2'!B6 / 1.94647965811)</f>
        <v>26.71489516</v>
      </c>
      <c r="C6" s="6">
        <f>'MS30A1 test #2'!C6</f>
        <v>58.1427</v>
      </c>
    </row>
    <row r="7">
      <c r="A7" s="6">
        <f>'MS30A1 test #2'!A7</f>
        <v>0.41</v>
      </c>
      <c r="B7" s="7">
        <f>('MS30A1 test #2'!B7 / 1.94647965811)</f>
        <v>32.87987097</v>
      </c>
      <c r="C7" s="6">
        <f>'MS30A1 test #2'!C7</f>
        <v>67.149</v>
      </c>
    </row>
    <row r="8">
      <c r="A8" s="6">
        <f>'MS30A1 test #2'!A8</f>
        <v>0.41</v>
      </c>
      <c r="B8" s="7">
        <f>('MS30A1 test #2'!B8 / 1.94647965811)</f>
        <v>34.9348629</v>
      </c>
      <c r="C8" s="6">
        <f>'MS30A1 test #2'!C8</f>
        <v>63.5895</v>
      </c>
    </row>
    <row r="9">
      <c r="A9" s="6">
        <f>'MS30A1 test #2'!A9</f>
        <v>0.42</v>
      </c>
      <c r="B9" s="7">
        <f>('MS30A1 test #2'!B9 / 1.94647965811)</f>
        <v>43.15483065</v>
      </c>
      <c r="C9" s="6">
        <f>'MS30A1 test #2'!C9</f>
        <v>65.749</v>
      </c>
    </row>
    <row r="10">
      <c r="A10" s="6">
        <f>'MS30A1 test #2'!A10</f>
        <v>0.42</v>
      </c>
      <c r="B10" s="7">
        <f>('MS30A1 test #2'!B10 / 1.94647965811)</f>
        <v>42.12733468</v>
      </c>
      <c r="C10" s="6">
        <f>'MS30A1 test #2'!C10</f>
        <v>96.0166</v>
      </c>
    </row>
    <row r="11">
      <c r="A11" s="6">
        <f>'MS30A1 test #2'!A11</f>
        <v>0.42</v>
      </c>
      <c r="B11" s="7">
        <f>('MS30A1 test #2'!B11 / 1.94647965811)</f>
        <v>41.61358669</v>
      </c>
      <c r="C11" s="6">
        <f>'MS30A1 test #2'!C11</f>
        <v>85.5933</v>
      </c>
    </row>
    <row r="12">
      <c r="A12" s="6">
        <f>'MS30A1 test #2'!A12</f>
        <v>0.43</v>
      </c>
      <c r="B12" s="7">
        <f>('MS30A1 test #2'!B12 / 1.94647965811)</f>
        <v>51.37479839</v>
      </c>
      <c r="C12" s="6">
        <f>'MS30A1 test #2'!C12</f>
        <v>106.2596</v>
      </c>
    </row>
    <row r="13">
      <c r="A13" s="6">
        <f>'MS30A1 test #2'!A13</f>
        <v>0.43</v>
      </c>
      <c r="B13" s="7">
        <f>('MS30A1 test #2'!B13 / 1.94647965811)</f>
        <v>51.88854637</v>
      </c>
      <c r="C13" s="6">
        <f>'MS30A1 test #2'!C13</f>
        <v>111.8189</v>
      </c>
    </row>
    <row r="14">
      <c r="A14" s="6">
        <f>'MS30A1 test #2'!A14</f>
        <v>0.44</v>
      </c>
      <c r="B14" s="7">
        <f>('MS30A1 test #2'!B14 / 1.94647965811)</f>
        <v>61.13601008</v>
      </c>
      <c r="C14" s="6">
        <f>'MS30A1 test #2'!C14</f>
        <v>121.1994</v>
      </c>
    </row>
    <row r="15">
      <c r="A15" s="6">
        <f>'MS30A1 test #2'!A15</f>
        <v>0.44</v>
      </c>
      <c r="B15" s="7">
        <f>('MS30A1 test #2'!B15 / 1.94647965811)</f>
        <v>60.6222621</v>
      </c>
      <c r="C15" s="6">
        <f>'MS30A1 test #2'!C15</f>
        <v>128.6427</v>
      </c>
    </row>
    <row r="16">
      <c r="A16" s="6">
        <f>'MS30A1 test #2'!A16</f>
        <v>0.45</v>
      </c>
      <c r="B16" s="7">
        <f>('MS30A1 test #2'!B16 / 1.94647965811)</f>
        <v>69.35597782</v>
      </c>
      <c r="C16" s="6">
        <f>'MS30A1 test #2'!C16</f>
        <v>123.4441</v>
      </c>
    </row>
    <row r="17">
      <c r="A17" s="6">
        <f>'MS30A1 test #2'!A17</f>
        <v>0.45</v>
      </c>
      <c r="B17" s="7">
        <f>('MS30A1 test #2'!B17 / 1.94647965811)</f>
        <v>68.84222984</v>
      </c>
      <c r="C17" s="6">
        <f>'MS30A1 test #2'!C17</f>
        <v>121.5752</v>
      </c>
    </row>
    <row r="18">
      <c r="A18" s="6">
        <f>'MS30A1 test #2'!A18</f>
        <v>0.46</v>
      </c>
      <c r="B18" s="7">
        <f>('MS30A1 test #2'!B18 / 1.94647965811)</f>
        <v>79.6309375</v>
      </c>
      <c r="C18" s="6">
        <f>'MS30A1 test #2'!C18</f>
        <v>149.1136</v>
      </c>
    </row>
    <row r="19">
      <c r="A19" s="6">
        <f>'MS30A1 test #2'!A19</f>
        <v>0.46</v>
      </c>
      <c r="B19" s="7">
        <f>('MS30A1 test #2'!B19 / 1.94647965811)</f>
        <v>79.6309375</v>
      </c>
      <c r="C19" s="6">
        <f>'MS30A1 test #2'!C19</f>
        <v>149.5309</v>
      </c>
    </row>
    <row r="20">
      <c r="A20" s="6">
        <f>'MS30A1 test #2'!A20</f>
        <v>0.47</v>
      </c>
      <c r="B20" s="7">
        <f>('MS30A1 test #2'!B20 / 1.94647965811)</f>
        <v>89.39214919</v>
      </c>
      <c r="C20" s="6">
        <f>'MS30A1 test #2'!C20</f>
        <v>177.9989</v>
      </c>
    </row>
    <row r="21">
      <c r="A21" s="6">
        <f>'MS30A1 test #2'!A21</f>
        <v>0.47</v>
      </c>
      <c r="B21" s="7">
        <f>('MS30A1 test #2'!B21 / 1.94647965811)</f>
        <v>90.41964516</v>
      </c>
      <c r="C21" s="6">
        <f>'MS30A1 test #2'!C21</f>
        <v>170.9017</v>
      </c>
    </row>
    <row r="22">
      <c r="A22" s="6" t="str">
        <f>'MS30A1 test #2'!A22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</row>
    <row r="2">
      <c r="A2" s="6">
        <f>'MS30A1 test #2'!A2</f>
        <v>0</v>
      </c>
      <c r="B2" s="7">
        <f>('MS30A1 test #2'!B2 / 1.43567658)</f>
        <v>0</v>
      </c>
      <c r="C2" s="6">
        <f>'MS30A1 test #2'!C2</f>
        <v>0.55671</v>
      </c>
    </row>
    <row r="3">
      <c r="A3" s="6">
        <f>'MS30A1 test #2'!A3</f>
        <v>0</v>
      </c>
      <c r="B3" s="7">
        <f>('MS30A1 test #2'!B3 / 1.43567658)</f>
        <v>0</v>
      </c>
      <c r="C3" s="6">
        <f>'MS30A1 test #2'!C3</f>
        <v>15.159</v>
      </c>
    </row>
    <row r="4">
      <c r="A4" s="6">
        <f>'MS30A1 test #2'!A4</f>
        <v>0</v>
      </c>
      <c r="B4" s="7">
        <f>('MS30A1 test #2'!B4 / 1.43567658)</f>
        <v>0</v>
      </c>
      <c r="C4" s="8">
        <f>'MS30A1 test #2'!C4</f>
        <v>-3.5488</v>
      </c>
    </row>
    <row r="5">
      <c r="A5" s="6">
        <f>'MS30A1 test #2'!A5</f>
        <v>0.4</v>
      </c>
      <c r="B5" s="7">
        <f>('MS30A1 test #2'!B5 / 1.43567658)</f>
        <v>35.523321</v>
      </c>
      <c r="C5" s="6">
        <f>'MS30A1 test #2'!C5</f>
        <v>59.8891</v>
      </c>
    </row>
    <row r="6">
      <c r="A6" s="6">
        <f>'MS30A1 test #2'!A6</f>
        <v>0.4</v>
      </c>
      <c r="B6" s="7">
        <f>('MS30A1 test #2'!B6 / 1.43567658)</f>
        <v>36.2198567</v>
      </c>
      <c r="C6" s="6">
        <f>'MS30A1 test #2'!C6</f>
        <v>58.1427</v>
      </c>
    </row>
    <row r="7">
      <c r="A7" s="6">
        <f>'MS30A1 test #2'!A7</f>
        <v>0.41</v>
      </c>
      <c r="B7" s="7">
        <f>('MS30A1 test #2'!B7 / 1.43567658)</f>
        <v>44.57828517</v>
      </c>
      <c r="C7" s="6">
        <f>'MS30A1 test #2'!C7</f>
        <v>67.149</v>
      </c>
    </row>
    <row r="8">
      <c r="A8" s="6">
        <f>'MS30A1 test #2'!A8</f>
        <v>0.41</v>
      </c>
      <c r="B8" s="7">
        <f>('MS30A1 test #2'!B8 / 1.43567658)</f>
        <v>47.364428</v>
      </c>
      <c r="C8" s="6">
        <f>'MS30A1 test #2'!C8</f>
        <v>63.5895</v>
      </c>
    </row>
    <row r="9">
      <c r="A9" s="6">
        <f>'MS30A1 test #2'!A9</f>
        <v>0.42</v>
      </c>
      <c r="B9" s="7">
        <f>('MS30A1 test #2'!B9 / 1.43567658)</f>
        <v>58.50899929</v>
      </c>
      <c r="C9" s="6">
        <f>'MS30A1 test #2'!C9</f>
        <v>65.749</v>
      </c>
    </row>
    <row r="10">
      <c r="A10" s="6">
        <f>'MS30A1 test #2'!A10</f>
        <v>0.42</v>
      </c>
      <c r="B10" s="7">
        <f>('MS30A1 test #2'!B10 / 1.43567658)</f>
        <v>57.11592788</v>
      </c>
      <c r="C10" s="6">
        <f>'MS30A1 test #2'!C10</f>
        <v>96.0166</v>
      </c>
    </row>
    <row r="11">
      <c r="A11" s="6">
        <f>'MS30A1 test #2'!A11</f>
        <v>0.42</v>
      </c>
      <c r="B11" s="7">
        <f>('MS30A1 test #2'!B11 / 1.43567658)</f>
        <v>56.41939217</v>
      </c>
      <c r="C11" s="6">
        <f>'MS30A1 test #2'!C11</f>
        <v>85.5933</v>
      </c>
    </row>
    <row r="12">
      <c r="A12" s="6">
        <f>'MS30A1 test #2'!A12</f>
        <v>0.43</v>
      </c>
      <c r="B12" s="7">
        <f>('MS30A1 test #2'!B12 / 1.43567658)</f>
        <v>69.65357058</v>
      </c>
      <c r="C12" s="6">
        <f>'MS30A1 test #2'!C12</f>
        <v>106.2596</v>
      </c>
    </row>
    <row r="13">
      <c r="A13" s="6">
        <f>'MS30A1 test #2'!A13</f>
        <v>0.43</v>
      </c>
      <c r="B13" s="7">
        <f>('MS30A1 test #2'!B13 / 1.43567658)</f>
        <v>70.35010629</v>
      </c>
      <c r="C13" s="6">
        <f>'MS30A1 test #2'!C13</f>
        <v>111.8189</v>
      </c>
    </row>
    <row r="14">
      <c r="A14" s="6">
        <f>'MS30A1 test #2'!A14</f>
        <v>0.44</v>
      </c>
      <c r="B14" s="7">
        <f>('MS30A1 test #2'!B14 / 1.43567658)</f>
        <v>82.88774899</v>
      </c>
      <c r="C14" s="6">
        <f>'MS30A1 test #2'!C14</f>
        <v>121.1994</v>
      </c>
    </row>
    <row r="15">
      <c r="A15" s="6">
        <f>'MS30A1 test #2'!A15</f>
        <v>0.44</v>
      </c>
      <c r="B15" s="7">
        <f>('MS30A1 test #2'!B15 / 1.43567658)</f>
        <v>82.19121329</v>
      </c>
      <c r="C15" s="6">
        <f>'MS30A1 test #2'!C15</f>
        <v>128.6427</v>
      </c>
    </row>
    <row r="16">
      <c r="A16" s="6">
        <f>'MS30A1 test #2'!A16</f>
        <v>0.45</v>
      </c>
      <c r="B16" s="7">
        <f>('MS30A1 test #2'!B16 / 1.43567658)</f>
        <v>94.03232029</v>
      </c>
      <c r="C16" s="6">
        <f>'MS30A1 test #2'!C16</f>
        <v>123.4441</v>
      </c>
    </row>
    <row r="17">
      <c r="A17" s="6">
        <f>'MS30A1 test #2'!A17</f>
        <v>0.45</v>
      </c>
      <c r="B17" s="7">
        <f>('MS30A1 test #2'!B17 / 1.43567658)</f>
        <v>93.33578458</v>
      </c>
      <c r="C17" s="6">
        <f>'MS30A1 test #2'!C17</f>
        <v>121.5752</v>
      </c>
    </row>
    <row r="18">
      <c r="A18" s="6">
        <f>'MS30A1 test #2'!A18</f>
        <v>0.46</v>
      </c>
      <c r="B18" s="7">
        <f>('MS30A1 test #2'!B18 / 1.43567658)</f>
        <v>107.9630344</v>
      </c>
      <c r="C18" s="6">
        <f>'MS30A1 test #2'!C18</f>
        <v>149.1136</v>
      </c>
    </row>
    <row r="19">
      <c r="A19" s="6">
        <f>'MS30A1 test #2'!A19</f>
        <v>0.46</v>
      </c>
      <c r="B19" s="7">
        <f>('MS30A1 test #2'!B19 / 1.43567658)</f>
        <v>107.9630344</v>
      </c>
      <c r="C19" s="6">
        <f>'MS30A1 test #2'!C19</f>
        <v>149.5309</v>
      </c>
    </row>
    <row r="20">
      <c r="A20" s="6">
        <f>'MS30A1 test #2'!A20</f>
        <v>0.47</v>
      </c>
      <c r="B20" s="7">
        <f>('MS30A1 test #2'!B20 / 1.43567658)</f>
        <v>121.1972128</v>
      </c>
      <c r="C20" s="6">
        <f>'MS30A1 test #2'!C20</f>
        <v>177.9989</v>
      </c>
    </row>
    <row r="21">
      <c r="A21" s="6">
        <f>'MS30A1 test #2'!A21</f>
        <v>0.47</v>
      </c>
      <c r="B21" s="7">
        <f>('MS30A1 test #2'!B21 / 1.43567658)</f>
        <v>122.5902842</v>
      </c>
      <c r="C21" s="6">
        <f>'MS30A1 test #2'!C21</f>
        <v>170.9017</v>
      </c>
    </row>
    <row r="22">
      <c r="A22" s="6" t="str">
        <f>'MS30A1 test #2'!A22</f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</row>
    <row r="2">
      <c r="A2" s="1">
        <v>0.0</v>
      </c>
      <c r="B2" s="1">
        <v>0.0</v>
      </c>
      <c r="C2" s="1">
        <v>3.2366</v>
      </c>
    </row>
    <row r="3">
      <c r="A3" s="1">
        <v>0.0</v>
      </c>
      <c r="B3" s="1">
        <v>0.0</v>
      </c>
      <c r="C3" s="1">
        <v>-4.7076</v>
      </c>
    </row>
    <row r="4">
      <c r="A4" s="1">
        <v>0.0</v>
      </c>
      <c r="B4" s="1">
        <v>0.0</v>
      </c>
      <c r="C4" s="1">
        <v>21.0327</v>
      </c>
      <c r="E4" s="1" t="s">
        <v>9</v>
      </c>
    </row>
    <row r="5">
      <c r="A5" s="1">
        <v>0.0</v>
      </c>
      <c r="B5" s="1">
        <v>0.0</v>
      </c>
      <c r="C5" s="1">
        <v>14.9139</v>
      </c>
    </row>
    <row r="6">
      <c r="A6" s="1">
        <v>0.0</v>
      </c>
      <c r="B6" s="1">
        <v>0.0</v>
      </c>
      <c r="C6" s="1">
        <v>-8.6798</v>
      </c>
    </row>
    <row r="7">
      <c r="A7" s="1">
        <v>0.0</v>
      </c>
      <c r="B7" s="1">
        <v>0.0</v>
      </c>
      <c r="C7" s="1">
        <v>6.6739</v>
      </c>
    </row>
    <row r="8">
      <c r="A8" s="1">
        <v>0.0</v>
      </c>
      <c r="B8" s="1">
        <v>0.0</v>
      </c>
      <c r="C8" s="1">
        <v>-16.8916</v>
      </c>
    </row>
    <row r="9">
      <c r="A9" s="1">
        <v>0.0</v>
      </c>
      <c r="B9" s="1">
        <v>0.0</v>
      </c>
      <c r="C9" s="1">
        <v>-13.0792</v>
      </c>
      <c r="G9" s="1" t="s">
        <v>10</v>
      </c>
    </row>
    <row r="10">
      <c r="A10" s="1">
        <v>0.0</v>
      </c>
      <c r="B10" s="1">
        <v>0.0</v>
      </c>
      <c r="C10" s="1">
        <v>3.4626</v>
      </c>
    </row>
    <row r="11">
      <c r="A11" s="1">
        <v>0.0</v>
      </c>
      <c r="B11" s="1">
        <v>0.0</v>
      </c>
      <c r="C11" s="1">
        <v>4.6284</v>
      </c>
    </row>
    <row r="12">
      <c r="A12" s="1">
        <v>0.0</v>
      </c>
      <c r="B12" s="1">
        <v>0.0</v>
      </c>
      <c r="C12" s="1">
        <v>2.1181</v>
      </c>
    </row>
    <row r="13">
      <c r="A13" s="1">
        <v>0.4</v>
      </c>
      <c r="B13" s="1">
        <v>41.7</v>
      </c>
      <c r="C13" s="1">
        <v>12.6436</v>
      </c>
    </row>
    <row r="14">
      <c r="A14" s="1">
        <v>0.4</v>
      </c>
      <c r="B14" s="1">
        <v>41.7</v>
      </c>
      <c r="C14" s="1">
        <v>8.497</v>
      </c>
    </row>
    <row r="15">
      <c r="A15" s="1">
        <v>0.41</v>
      </c>
      <c r="B15" s="1">
        <v>56.0</v>
      </c>
      <c r="C15" s="1">
        <v>40.747</v>
      </c>
      <c r="E15" s="1" t="s">
        <v>11</v>
      </c>
    </row>
    <row r="16">
      <c r="A16" s="1">
        <v>0.41</v>
      </c>
      <c r="B16" s="1">
        <v>57.0</v>
      </c>
      <c r="C16" s="1">
        <v>8.3163</v>
      </c>
    </row>
    <row r="17">
      <c r="A17" s="1">
        <v>0.41</v>
      </c>
      <c r="B17" s="1">
        <v>58.3</v>
      </c>
      <c r="C17" s="1">
        <v>5.3072</v>
      </c>
    </row>
    <row r="18">
      <c r="A18" s="1">
        <v>0.42</v>
      </c>
      <c r="B18" s="1">
        <v>71.6</v>
      </c>
      <c r="C18" s="1">
        <v>13.7091</v>
      </c>
    </row>
    <row r="19">
      <c r="A19" s="1">
        <v>0.42</v>
      </c>
      <c r="B19" s="1">
        <v>72.4</v>
      </c>
      <c r="C19" s="1">
        <v>34.0474</v>
      </c>
    </row>
    <row r="20">
      <c r="A20" s="1">
        <v>0.42</v>
      </c>
      <c r="B20" s="1">
        <v>72.8</v>
      </c>
      <c r="C20" s="1">
        <v>28.7761</v>
      </c>
    </row>
    <row r="21">
      <c r="A21" s="1">
        <v>0.43</v>
      </c>
      <c r="B21" s="1">
        <v>86.0</v>
      </c>
      <c r="C21" s="1">
        <v>31.3794</v>
      </c>
    </row>
    <row r="22">
      <c r="A22" s="1">
        <v>0.43</v>
      </c>
      <c r="B22" s="1">
        <v>86.9</v>
      </c>
      <c r="C22" s="1">
        <v>28.1999</v>
      </c>
    </row>
    <row r="23">
      <c r="A23" s="1">
        <v>0.44</v>
      </c>
      <c r="B23" s="1">
        <v>98.0</v>
      </c>
      <c r="C23" s="1">
        <v>46.2421</v>
      </c>
    </row>
    <row r="24">
      <c r="A24" s="1">
        <v>0.44</v>
      </c>
      <c r="B24" s="1">
        <v>98.0</v>
      </c>
      <c r="C24" s="1">
        <v>31.6153</v>
      </c>
    </row>
    <row r="25">
      <c r="A25" s="1">
        <v>0.45</v>
      </c>
      <c r="B25" s="1">
        <v>114.0</v>
      </c>
      <c r="C25" s="1">
        <v>24.7029</v>
      </c>
    </row>
    <row r="26">
      <c r="A26" s="1">
        <v>0.45</v>
      </c>
      <c r="B26" s="1">
        <v>114.0</v>
      </c>
      <c r="C26" s="1">
        <v>54.2569</v>
      </c>
    </row>
    <row r="27">
      <c r="A27" s="1">
        <v>0.46</v>
      </c>
      <c r="B27" s="1">
        <v>129.0</v>
      </c>
      <c r="C27" s="1">
        <v>60.8091</v>
      </c>
    </row>
    <row r="28">
      <c r="A28" s="1">
        <v>0.46</v>
      </c>
      <c r="B28" s="1">
        <v>129.0</v>
      </c>
      <c r="C28" s="1">
        <v>62.4684</v>
      </c>
    </row>
    <row r="29">
      <c r="A29" s="1">
        <v>0.46</v>
      </c>
      <c r="B29" s="1">
        <v>129.0</v>
      </c>
      <c r="C29" s="1">
        <v>29.2204</v>
      </c>
    </row>
    <row r="30">
      <c r="A30" s="1">
        <v>0.47</v>
      </c>
      <c r="B30" s="1">
        <v>146.0</v>
      </c>
      <c r="C30" s="1">
        <v>56.2928</v>
      </c>
    </row>
    <row r="31">
      <c r="A31" s="1">
        <v>0.47</v>
      </c>
      <c r="B31" s="1">
        <v>146.0</v>
      </c>
      <c r="C31" s="1">
        <v>79.4058</v>
      </c>
    </row>
    <row r="32">
      <c r="A32" s="1">
        <v>0.48</v>
      </c>
      <c r="B32" s="1">
        <v>162.0</v>
      </c>
      <c r="C32" s="1">
        <v>45.3012</v>
      </c>
    </row>
    <row r="33">
      <c r="A33" s="1">
        <v>0.48</v>
      </c>
      <c r="B33" s="1">
        <v>162.0</v>
      </c>
      <c r="C33" s="1">
        <v>48.4727</v>
      </c>
    </row>
    <row r="34">
      <c r="A34" s="1">
        <v>0.48</v>
      </c>
      <c r="B34" s="1">
        <v>162.0</v>
      </c>
      <c r="C34" s="1">
        <v>67.6781</v>
      </c>
    </row>
    <row r="35">
      <c r="A35" s="1">
        <v>0.49</v>
      </c>
      <c r="B35" s="1">
        <v>177.0</v>
      </c>
      <c r="C35" s="1">
        <v>75.1687</v>
      </c>
    </row>
    <row r="36">
      <c r="A36" s="1">
        <v>0.49</v>
      </c>
      <c r="B36" s="1">
        <v>177.0</v>
      </c>
      <c r="C36" s="1">
        <v>70.9508</v>
      </c>
    </row>
    <row r="37">
      <c r="A37" s="1">
        <v>0.5</v>
      </c>
      <c r="B37" s="1">
        <v>192.0</v>
      </c>
      <c r="C37" s="1">
        <v>77.4832</v>
      </c>
    </row>
    <row r="38">
      <c r="A38" s="1">
        <v>0.5</v>
      </c>
      <c r="B38" s="1">
        <v>192.0</v>
      </c>
      <c r="C38" s="1">
        <v>42.6235</v>
      </c>
    </row>
    <row r="39">
      <c r="A39" s="1">
        <v>0.5</v>
      </c>
      <c r="B39" s="1">
        <v>192.0</v>
      </c>
      <c r="C39" s="1">
        <v>64.9399</v>
      </c>
    </row>
    <row r="40">
      <c r="A40" s="1">
        <v>0.52</v>
      </c>
      <c r="B40" s="1">
        <v>224.0</v>
      </c>
      <c r="C40" s="1">
        <v>82.7642</v>
      </c>
    </row>
    <row r="41">
      <c r="A41" s="1">
        <v>0.52</v>
      </c>
      <c r="B41" s="1">
        <v>223.0</v>
      </c>
      <c r="C41" s="1">
        <v>86.0439</v>
      </c>
    </row>
    <row r="42">
      <c r="A42" s="1">
        <v>0.54</v>
      </c>
      <c r="B42" s="1">
        <v>254.0</v>
      </c>
      <c r="C42" s="1">
        <v>95.5991</v>
      </c>
    </row>
    <row r="43">
      <c r="A43" s="1">
        <v>0.54</v>
      </c>
      <c r="B43" s="1">
        <v>253.0</v>
      </c>
      <c r="C43" s="1">
        <v>85.6356</v>
      </c>
    </row>
    <row r="44">
      <c r="A44" s="1">
        <v>0.55</v>
      </c>
      <c r="B44" s="1">
        <v>262.0</v>
      </c>
      <c r="C44" s="1">
        <v>104.5177</v>
      </c>
    </row>
    <row r="45">
      <c r="A45" s="1">
        <v>0.56</v>
      </c>
      <c r="B45" s="1">
        <v>284.0</v>
      </c>
      <c r="C45" s="1">
        <v>81.504</v>
      </c>
    </row>
    <row r="46">
      <c r="A46" s="1">
        <v>0.56</v>
      </c>
      <c r="B46" s="1">
        <v>284.0</v>
      </c>
      <c r="C46" s="1">
        <v>86.4237</v>
      </c>
    </row>
    <row r="47">
      <c r="A47" s="1">
        <v>0.58</v>
      </c>
      <c r="B47" s="1">
        <v>309.0</v>
      </c>
      <c r="C47" s="1">
        <v>89.523</v>
      </c>
    </row>
    <row r="48">
      <c r="A48" s="1">
        <v>0.58</v>
      </c>
      <c r="B48" s="1">
        <v>311.0</v>
      </c>
      <c r="C48" s="1">
        <v>105.2899</v>
      </c>
    </row>
    <row r="49">
      <c r="A49" s="1">
        <v>0.6</v>
      </c>
      <c r="B49" s="1">
        <v>339.0</v>
      </c>
      <c r="C49" s="1">
        <v>113.3173</v>
      </c>
    </row>
    <row r="50">
      <c r="A50" s="1">
        <v>0.6</v>
      </c>
      <c r="B50" s="1">
        <v>340.0</v>
      </c>
      <c r="C50" s="1">
        <v>120.146</v>
      </c>
    </row>
    <row r="51">
      <c r="A51" s="1">
        <v>0.62</v>
      </c>
      <c r="B51" s="1">
        <v>370.0</v>
      </c>
      <c r="C51" s="1">
        <v>154.432</v>
      </c>
    </row>
    <row r="52">
      <c r="A52" s="1">
        <v>0.62</v>
      </c>
      <c r="B52" s="1">
        <v>372.0</v>
      </c>
      <c r="C52" s="1">
        <v>142.2973</v>
      </c>
    </row>
    <row r="53">
      <c r="A53" s="1">
        <v>0.64</v>
      </c>
      <c r="B53" s="1">
        <v>402.0</v>
      </c>
      <c r="C53" s="1">
        <v>141.5432</v>
      </c>
    </row>
    <row r="54">
      <c r="A54" s="1">
        <v>0.64</v>
      </c>
      <c r="B54" s="1">
        <v>401.0</v>
      </c>
      <c r="C54" s="1">
        <v>146.853</v>
      </c>
    </row>
    <row r="55">
      <c r="A55" s="1">
        <v>0.66</v>
      </c>
      <c r="B55" s="1">
        <v>433.0</v>
      </c>
      <c r="C55" s="1">
        <v>153.4552</v>
      </c>
    </row>
    <row r="56">
      <c r="A56" s="1">
        <v>0.66</v>
      </c>
      <c r="B56" s="1">
        <v>434.0</v>
      </c>
      <c r="C56" s="1">
        <v>157.1216</v>
      </c>
    </row>
    <row r="57">
      <c r="A57" s="1">
        <v>0.68</v>
      </c>
      <c r="B57" s="1">
        <v>464.0</v>
      </c>
      <c r="C57" s="1">
        <v>164.9386</v>
      </c>
    </row>
    <row r="58">
      <c r="A58" s="1">
        <v>0.68</v>
      </c>
      <c r="B58" s="1">
        <v>464.0</v>
      </c>
      <c r="C58" s="1">
        <v>175.2818</v>
      </c>
    </row>
    <row r="59">
      <c r="A59" s="1">
        <v>0.7</v>
      </c>
      <c r="B59" s="1">
        <v>498.0</v>
      </c>
      <c r="C59" s="1">
        <v>180.3764</v>
      </c>
    </row>
    <row r="60">
      <c r="A60" s="1">
        <v>0.7</v>
      </c>
      <c r="B60" s="1">
        <v>498.0</v>
      </c>
      <c r="C60" s="1">
        <v>179.1784</v>
      </c>
    </row>
    <row r="61">
      <c r="A61" s="1">
        <v>0.725</v>
      </c>
      <c r="B61" s="1">
        <v>537.0</v>
      </c>
      <c r="C61" s="1">
        <v>186.4165</v>
      </c>
    </row>
    <row r="62">
      <c r="A62" s="1">
        <v>0.725</v>
      </c>
      <c r="B62" s="1">
        <v>536.0</v>
      </c>
      <c r="C62" s="1">
        <v>192.5568</v>
      </c>
    </row>
    <row r="63">
      <c r="A63" s="1">
        <v>0.75</v>
      </c>
      <c r="B63" s="1">
        <v>574.0</v>
      </c>
      <c r="C63" s="1">
        <v>217.887</v>
      </c>
    </row>
    <row r="64">
      <c r="A64" s="1">
        <v>0.75</v>
      </c>
      <c r="B64" s="1">
        <v>576.0</v>
      </c>
      <c r="C64" s="1">
        <v>216.2904</v>
      </c>
    </row>
    <row r="65">
      <c r="A65" s="1">
        <v>0.775</v>
      </c>
      <c r="B65" s="1">
        <v>633.0</v>
      </c>
      <c r="C65" s="1">
        <v>227.5157</v>
      </c>
    </row>
    <row r="66">
      <c r="A66" s="1">
        <v>0.775</v>
      </c>
      <c r="B66" s="1">
        <v>626.0</v>
      </c>
      <c r="C66" s="1">
        <v>225.4184</v>
      </c>
    </row>
    <row r="67">
      <c r="A67" s="1">
        <v>0.8</v>
      </c>
      <c r="B67" s="1">
        <v>671.0</v>
      </c>
      <c r="C67" s="1">
        <v>258.179</v>
      </c>
    </row>
    <row r="68">
      <c r="A68" s="1">
        <v>0.8</v>
      </c>
      <c r="B68" s="1">
        <v>674.0</v>
      </c>
      <c r="C68" s="1">
        <v>267.5618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</row>
    <row r="2">
      <c r="A2" s="1">
        <v>0.0</v>
      </c>
      <c r="B2" s="1">
        <v>0.0</v>
      </c>
    </row>
    <row r="3">
      <c r="A3" s="1">
        <v>0.0</v>
      </c>
      <c r="B3" s="1">
        <v>0.0</v>
      </c>
    </row>
    <row r="16">
      <c r="A16" s="1">
        <v>0.7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</row>
    <row r="2">
      <c r="A2" s="1">
        <v>0.0</v>
      </c>
      <c r="B2" s="1">
        <v>0.0</v>
      </c>
      <c r="C2" s="1">
        <v>-1.0589</v>
      </c>
      <c r="E2" s="1" t="s">
        <v>12</v>
      </c>
    </row>
    <row r="3">
      <c r="A3" s="1">
        <v>0.0</v>
      </c>
      <c r="B3" s="1">
        <v>0.0</v>
      </c>
      <c r="C3" s="1">
        <v>-5.4727</v>
      </c>
    </row>
    <row r="4">
      <c r="A4" s="1">
        <v>0.0</v>
      </c>
      <c r="B4" s="1">
        <v>0.0</v>
      </c>
      <c r="C4" s="1">
        <v>-14.1174</v>
      </c>
    </row>
    <row r="5">
      <c r="A5" s="1">
        <v>0.0</v>
      </c>
      <c r="B5" s="1">
        <v>0.0</v>
      </c>
      <c r="C5" s="1">
        <v>-2.1395</v>
      </c>
    </row>
    <row r="6">
      <c r="A6" s="1">
        <v>0.4</v>
      </c>
      <c r="B6" s="1">
        <v>47.0</v>
      </c>
      <c r="C6" s="1">
        <v>24.0494</v>
      </c>
    </row>
    <row r="7">
      <c r="A7" s="1">
        <v>0.4</v>
      </c>
      <c r="B7" s="1">
        <v>48.0</v>
      </c>
      <c r="C7" s="1">
        <v>25.0239</v>
      </c>
    </row>
    <row r="8">
      <c r="A8" s="1">
        <v>0.41</v>
      </c>
      <c r="B8" s="1">
        <v>64.9</v>
      </c>
      <c r="C8" s="1">
        <v>44.3636</v>
      </c>
      <c r="E8" s="1" t="s">
        <v>13</v>
      </c>
    </row>
    <row r="9">
      <c r="A9" s="1">
        <v>0.41</v>
      </c>
      <c r="B9" s="1">
        <v>65.0</v>
      </c>
      <c r="C9" s="1">
        <v>44.2181</v>
      </c>
    </row>
    <row r="10">
      <c r="A10" s="1">
        <v>0.42</v>
      </c>
      <c r="B10" s="1">
        <v>80.1</v>
      </c>
      <c r="C10" s="1">
        <v>54.442</v>
      </c>
    </row>
    <row r="11">
      <c r="A11" s="1">
        <v>0.42</v>
      </c>
      <c r="B11" s="1">
        <v>80.3</v>
      </c>
      <c r="C11" s="1">
        <v>42.8251</v>
      </c>
    </row>
    <row r="12">
      <c r="A12" s="1">
        <v>0.43</v>
      </c>
      <c r="B12" s="1">
        <v>94.3</v>
      </c>
      <c r="C12" s="1">
        <v>71.5404</v>
      </c>
    </row>
    <row r="13">
      <c r="A13" s="1">
        <v>0.43</v>
      </c>
      <c r="B13" s="1">
        <v>95.2</v>
      </c>
      <c r="C13" s="1">
        <v>68.9545</v>
      </c>
    </row>
    <row r="14">
      <c r="A14" s="1">
        <v>0.44</v>
      </c>
      <c r="B14" s="1">
        <v>111.0</v>
      </c>
      <c r="C14" s="1">
        <v>81.0862</v>
      </c>
    </row>
    <row r="15">
      <c r="A15" s="1">
        <v>0.44</v>
      </c>
      <c r="B15" s="1">
        <v>111.0</v>
      </c>
      <c r="C15" s="1">
        <v>71.331</v>
      </c>
    </row>
    <row r="16">
      <c r="A16" s="1">
        <v>0.45</v>
      </c>
      <c r="B16" s="1">
        <v>127.0</v>
      </c>
      <c r="C16" s="1">
        <v>77.34</v>
      </c>
    </row>
    <row r="17">
      <c r="A17" s="1">
        <v>0.45</v>
      </c>
      <c r="B17" s="1">
        <v>127.0</v>
      </c>
      <c r="C17" s="1">
        <v>98.0197</v>
      </c>
    </row>
    <row r="18">
      <c r="A18" s="1">
        <v>0.46</v>
      </c>
      <c r="B18" s="1">
        <v>144.0</v>
      </c>
      <c r="C18" s="1">
        <v>96.3559</v>
      </c>
    </row>
    <row r="19">
      <c r="A19" s="1">
        <v>0.46</v>
      </c>
      <c r="B19" s="1">
        <v>145.0</v>
      </c>
      <c r="C19" s="1">
        <v>104.722</v>
      </c>
    </row>
    <row r="20">
      <c r="A20" s="1">
        <v>0.47</v>
      </c>
      <c r="B20" s="1">
        <v>163.0</v>
      </c>
      <c r="C20" s="1">
        <v>111.6229</v>
      </c>
    </row>
    <row r="21">
      <c r="A21" s="1">
        <v>0.47</v>
      </c>
      <c r="B21" s="1">
        <v>163.0</v>
      </c>
      <c r="C21" s="1">
        <v>106.18</v>
      </c>
    </row>
    <row r="22">
      <c r="A22" s="1">
        <v>0.48</v>
      </c>
      <c r="B22" s="1">
        <v>180.0</v>
      </c>
      <c r="C22" s="1">
        <v>122.8446</v>
      </c>
    </row>
    <row r="23">
      <c r="A23" s="1">
        <v>0.48</v>
      </c>
      <c r="B23" s="1">
        <v>180.0</v>
      </c>
      <c r="C23" s="1">
        <v>118.3138</v>
      </c>
    </row>
    <row r="24">
      <c r="A24" s="1">
        <v>0.49</v>
      </c>
      <c r="B24" s="1">
        <v>198.0</v>
      </c>
      <c r="C24" s="1">
        <v>136.6759</v>
      </c>
    </row>
    <row r="25">
      <c r="A25" s="1">
        <v>0.49</v>
      </c>
      <c r="B25" s="1">
        <v>197.0</v>
      </c>
      <c r="C25" s="1">
        <v>138.5486</v>
      </c>
    </row>
    <row r="26">
      <c r="A26" s="1">
        <v>0.5</v>
      </c>
      <c r="B26" s="1">
        <v>209.0</v>
      </c>
      <c r="C26" s="1">
        <v>133.4212</v>
      </c>
    </row>
    <row r="27">
      <c r="A27" s="1">
        <v>0.5</v>
      </c>
      <c r="B27" s="1">
        <v>213.0</v>
      </c>
      <c r="C27" s="1">
        <v>151.254</v>
      </c>
    </row>
    <row r="28">
      <c r="A28" s="1">
        <v>0.52</v>
      </c>
      <c r="B28" s="1">
        <v>246.0</v>
      </c>
      <c r="C28" s="1">
        <v>168.6177</v>
      </c>
    </row>
    <row r="29">
      <c r="A29" s="1">
        <v>0.52</v>
      </c>
      <c r="B29" s="1">
        <v>246.0</v>
      </c>
      <c r="C29" s="1">
        <v>199.2171</v>
      </c>
    </row>
    <row r="30">
      <c r="A30" s="1">
        <v>0.54</v>
      </c>
      <c r="B30" s="1">
        <v>280.0</v>
      </c>
      <c r="C30" s="1">
        <v>199.8033</v>
      </c>
    </row>
    <row r="31">
      <c r="A31" s="1">
        <v>0.54</v>
      </c>
      <c r="B31" s="1">
        <v>280.0</v>
      </c>
      <c r="C31" s="1">
        <v>192.2612</v>
      </c>
    </row>
    <row r="32">
      <c r="A32" s="1">
        <v>0.56</v>
      </c>
      <c r="B32" s="1">
        <v>309.0</v>
      </c>
      <c r="C32" s="1">
        <v>204.7521</v>
      </c>
    </row>
    <row r="33">
      <c r="A33" s="1">
        <v>0.56</v>
      </c>
      <c r="B33" s="1">
        <v>309.0</v>
      </c>
      <c r="C33" s="1">
        <v>221.5707</v>
      </c>
    </row>
    <row r="34">
      <c r="A34" s="1">
        <v>0.58</v>
      </c>
      <c r="B34" s="1">
        <v>343.0</v>
      </c>
      <c r="C34" s="1">
        <v>249.5175</v>
      </c>
    </row>
    <row r="35">
      <c r="A35" s="1">
        <v>0.58</v>
      </c>
      <c r="B35" s="1">
        <v>345.0</v>
      </c>
      <c r="C35" s="1">
        <v>222.2453</v>
      </c>
    </row>
    <row r="36">
      <c r="A36" s="1">
        <v>0.6</v>
      </c>
      <c r="B36" s="1">
        <v>379.0</v>
      </c>
      <c r="C36" s="1">
        <v>263.8298</v>
      </c>
    </row>
    <row r="37">
      <c r="A37" s="1">
        <v>0.6</v>
      </c>
      <c r="B37" s="1">
        <v>379.0</v>
      </c>
      <c r="C37" s="1">
        <v>271.893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</row>
    <row r="2">
      <c r="A2" s="1">
        <v>0.0</v>
      </c>
      <c r="B2" s="1">
        <v>0.0</v>
      </c>
      <c r="C2" s="1">
        <v>12.7004</v>
      </c>
    </row>
    <row r="3">
      <c r="A3" s="1">
        <v>0.0</v>
      </c>
      <c r="B3" s="1">
        <v>0.0</v>
      </c>
      <c r="C3" s="1">
        <v>-8.2328</v>
      </c>
    </row>
    <row r="4">
      <c r="A4" s="1">
        <v>0.4</v>
      </c>
      <c r="B4" s="1">
        <v>66.0</v>
      </c>
      <c r="C4" s="1">
        <v>26.9418</v>
      </c>
    </row>
    <row r="5">
      <c r="A5" s="1">
        <v>0.4</v>
      </c>
      <c r="B5" s="1">
        <v>66.0</v>
      </c>
      <c r="C5" s="1">
        <v>39.8765</v>
      </c>
    </row>
    <row r="6">
      <c r="A6" s="1">
        <v>0.42</v>
      </c>
      <c r="B6" s="1">
        <v>111.0</v>
      </c>
      <c r="C6" s="1">
        <v>62.8992</v>
      </c>
    </row>
    <row r="7">
      <c r="A7" s="1">
        <v>0.42</v>
      </c>
      <c r="B7" s="1">
        <v>112.0</v>
      </c>
      <c r="C7" s="1">
        <v>60.3582</v>
      </c>
    </row>
    <row r="8">
      <c r="A8" s="1">
        <v>0.44</v>
      </c>
      <c r="B8" s="1">
        <v>156.0</v>
      </c>
      <c r="C8" s="1">
        <v>77.2295</v>
      </c>
    </row>
    <row r="9">
      <c r="A9" s="1">
        <v>0.44</v>
      </c>
      <c r="B9" s="1">
        <v>154.0</v>
      </c>
      <c r="C9" s="1">
        <v>89.2284</v>
      </c>
    </row>
    <row r="10">
      <c r="A10" s="1">
        <v>0.46</v>
      </c>
      <c r="B10" s="1">
        <v>206.0</v>
      </c>
      <c r="C10" s="1">
        <v>109.1249</v>
      </c>
    </row>
    <row r="11">
      <c r="A11" s="1">
        <v>0.46</v>
      </c>
      <c r="B11" s="1">
        <v>205.0</v>
      </c>
      <c r="C11" s="1">
        <v>105.0826</v>
      </c>
    </row>
    <row r="12">
      <c r="A12" s="1">
        <v>0.47</v>
      </c>
      <c r="B12" s="1">
        <v>229.0</v>
      </c>
      <c r="C12" s="1">
        <v>107.0466</v>
      </c>
    </row>
    <row r="13">
      <c r="A13" s="1">
        <v>0.47</v>
      </c>
      <c r="B13" s="1">
        <v>230.0</v>
      </c>
      <c r="C13" s="1">
        <v>111.7504</v>
      </c>
    </row>
    <row r="14">
      <c r="A14" s="1">
        <v>0.48</v>
      </c>
      <c r="B14" s="1">
        <v>252.0</v>
      </c>
      <c r="C14" s="1">
        <v>120.1315</v>
      </c>
    </row>
    <row r="15">
      <c r="A15" s="1">
        <v>0.48</v>
      </c>
      <c r="B15" s="1">
        <v>253.0</v>
      </c>
      <c r="C15" s="1">
        <v>132.9735</v>
      </c>
    </row>
    <row r="16">
      <c r="A16" s="1">
        <v>0.5</v>
      </c>
      <c r="B16" s="1">
        <v>298.0</v>
      </c>
      <c r="C16" s="1">
        <v>152.8479</v>
      </c>
    </row>
    <row r="17">
      <c r="A17" s="1">
        <v>0.5</v>
      </c>
      <c r="B17" s="1">
        <v>299.0</v>
      </c>
      <c r="C17" s="1">
        <v>155.8352</v>
      </c>
    </row>
    <row r="18">
      <c r="A18" s="1">
        <v>0.52</v>
      </c>
      <c r="B18" s="1">
        <v>346.0</v>
      </c>
      <c r="C18" s="1">
        <v>173.0249</v>
      </c>
    </row>
    <row r="19">
      <c r="A19" s="1">
        <v>0.52</v>
      </c>
      <c r="B19" s="1">
        <v>345.0</v>
      </c>
      <c r="C19" s="1">
        <v>174.5485</v>
      </c>
    </row>
    <row r="20">
      <c r="A20" s="1">
        <v>0.54</v>
      </c>
      <c r="B20" s="1">
        <v>391.0</v>
      </c>
      <c r="C20" s="1">
        <v>191.072</v>
      </c>
    </row>
    <row r="21">
      <c r="A21" s="1">
        <v>0.54</v>
      </c>
      <c r="B21" s="1">
        <v>397.0</v>
      </c>
      <c r="C21" s="1">
        <v>201.4375</v>
      </c>
    </row>
    <row r="22">
      <c r="A22" s="1">
        <v>0.56</v>
      </c>
      <c r="B22" s="1">
        <v>439.0</v>
      </c>
      <c r="C22" s="1">
        <v>196.613</v>
      </c>
    </row>
    <row r="23">
      <c r="A23" s="1">
        <v>0.56</v>
      </c>
      <c r="B23" s="1">
        <v>442.0</v>
      </c>
      <c r="C23" s="1">
        <v>220.5339</v>
      </c>
    </row>
    <row r="24">
      <c r="A24" s="1">
        <v>0.58</v>
      </c>
      <c r="B24" s="1">
        <v>491.0</v>
      </c>
      <c r="C24" s="1">
        <v>220.3131</v>
      </c>
    </row>
    <row r="25">
      <c r="A25" s="1">
        <v>0.58</v>
      </c>
      <c r="B25" s="1">
        <v>491.0</v>
      </c>
      <c r="C25" s="1">
        <v>249.4395</v>
      </c>
    </row>
    <row r="26">
      <c r="A26" s="1">
        <v>0.6</v>
      </c>
      <c r="B26" s="1">
        <v>544.0</v>
      </c>
      <c r="C26" s="1">
        <v>269.7708</v>
      </c>
    </row>
    <row r="27">
      <c r="A27" s="1">
        <v>0.6</v>
      </c>
      <c r="B27" s="1">
        <v>543.0</v>
      </c>
      <c r="C27" s="1">
        <v>280.2037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>'SG1744L test #2'!A1</f>
        <v>Current (A)</v>
      </c>
      <c r="B1" s="6" t="str">
        <f>'SG1744L test #2'!B1</f>
        <v>P_out (mW)</v>
      </c>
      <c r="C1" s="6" t="str">
        <f>'SG1744L test #2'!C1</f>
        <v>ΔT (mK)</v>
      </c>
    </row>
    <row r="2">
      <c r="A2" s="6">
        <f>'SG1744L test #2'!A2</f>
        <v>0</v>
      </c>
      <c r="B2" s="9">
        <f>('SG1744L test #2'!B2 / 1.43567658)</f>
        <v>0</v>
      </c>
      <c r="C2" s="6">
        <f>'SG1744L test #2'!C2</f>
        <v>12.7004</v>
      </c>
    </row>
    <row r="3">
      <c r="A3" s="6">
        <f>'SG1744L test #2'!A3</f>
        <v>0</v>
      </c>
      <c r="B3" s="9">
        <f>('SG1744L test #2'!B3 / 1.43567658)</f>
        <v>0</v>
      </c>
      <c r="C3" s="6">
        <f>'SG1744L test #2'!C3</f>
        <v>-8.2328</v>
      </c>
    </row>
    <row r="4">
      <c r="A4" s="6">
        <f>'SG1744L test #2'!A4</f>
        <v>0.4</v>
      </c>
      <c r="B4" s="9">
        <f>('SG1744L test #2'!B4 / 1.43567658)</f>
        <v>45.97135659</v>
      </c>
      <c r="C4" s="6">
        <f>'SG1744L test #2'!C4</f>
        <v>26.9418</v>
      </c>
    </row>
    <row r="5">
      <c r="A5" s="6">
        <f>'SG1744L test #2'!A5</f>
        <v>0.4</v>
      </c>
      <c r="B5" s="9">
        <f>('SG1744L test #2'!B5 / 1.43567658)</f>
        <v>45.97135659</v>
      </c>
      <c r="C5" s="6">
        <f>'SG1744L test #2'!C5</f>
        <v>39.8765</v>
      </c>
      <c r="D5" s="1">
        <v>1.43567658035</v>
      </c>
    </row>
    <row r="6">
      <c r="A6" s="6">
        <f>'SG1744L test #2'!A6</f>
        <v>0.42</v>
      </c>
      <c r="B6" s="9">
        <f>('SG1744L test #2'!B6 / 1.43567658)</f>
        <v>77.31546335</v>
      </c>
      <c r="C6" s="6">
        <f>'SG1744L test #2'!C6</f>
        <v>62.8992</v>
      </c>
    </row>
    <row r="7">
      <c r="A7" s="6">
        <f>'SG1744L test #2'!A7</f>
        <v>0.42</v>
      </c>
      <c r="B7" s="9">
        <f>('SG1744L test #2'!B7 / 1.43567658)</f>
        <v>78.01199905</v>
      </c>
      <c r="C7" s="6">
        <f>'SG1744L test #2'!C7</f>
        <v>60.3582</v>
      </c>
    </row>
    <row r="8">
      <c r="A8" s="6">
        <f>'SG1744L test #2'!A8</f>
        <v>0.44</v>
      </c>
      <c r="B8" s="9">
        <f>('SG1744L test #2'!B8 / 1.43567658)</f>
        <v>108.6595701</v>
      </c>
      <c r="C8" s="6">
        <f>'SG1744L test #2'!C8</f>
        <v>77.2295</v>
      </c>
    </row>
    <row r="9">
      <c r="A9" s="6">
        <f>'SG1744L test #2'!A9</f>
        <v>0.44</v>
      </c>
      <c r="B9" s="9">
        <f>('SG1744L test #2'!B9 / 1.43567658)</f>
        <v>107.2664987</v>
      </c>
      <c r="C9" s="6">
        <f>'SG1744L test #2'!C9</f>
        <v>89.2284</v>
      </c>
    </row>
    <row r="10">
      <c r="A10" s="6">
        <f>'SG1744L test #2'!A10</f>
        <v>0.46</v>
      </c>
      <c r="B10" s="9">
        <f>('SG1744L test #2'!B10 / 1.43567658)</f>
        <v>143.4863554</v>
      </c>
      <c r="C10" s="6">
        <f>'SG1744L test #2'!C10</f>
        <v>109.1249</v>
      </c>
    </row>
    <row r="11">
      <c r="A11" s="6">
        <f>'SG1744L test #2'!A11</f>
        <v>0.46</v>
      </c>
      <c r="B11" s="9">
        <f>('SG1744L test #2'!B11 / 1.43567658)</f>
        <v>142.7898197</v>
      </c>
      <c r="C11" s="6">
        <f>'SG1744L test #2'!C11</f>
        <v>105.0826</v>
      </c>
    </row>
    <row r="12">
      <c r="A12" s="6">
        <f>'SG1744L test #2'!A12</f>
        <v>0.47</v>
      </c>
      <c r="B12" s="9">
        <f>('SG1744L test #2'!B12 / 1.43567658)</f>
        <v>159.5066766</v>
      </c>
      <c r="C12" s="6">
        <f>'SG1744L test #2'!C12</f>
        <v>107.0466</v>
      </c>
    </row>
    <row r="13">
      <c r="A13" s="6">
        <f>'SG1744L test #2'!A13</f>
        <v>0.47</v>
      </c>
      <c r="B13" s="9">
        <f>('SG1744L test #2'!B13 / 1.43567658)</f>
        <v>160.2032123</v>
      </c>
      <c r="C13" s="6">
        <f>'SG1744L test #2'!C13</f>
        <v>111.7504</v>
      </c>
    </row>
    <row r="14">
      <c r="A14" s="6">
        <f>'SG1744L test #2'!A14</f>
        <v>0.48</v>
      </c>
      <c r="B14" s="9">
        <f>('SG1744L test #2'!B14 / 1.43567658)</f>
        <v>175.5269979</v>
      </c>
      <c r="C14" s="6">
        <f>'SG1744L test #2'!C14</f>
        <v>120.1315</v>
      </c>
    </row>
    <row r="15">
      <c r="A15" s="6">
        <f>'SG1744L test #2'!A15</f>
        <v>0.48</v>
      </c>
      <c r="B15" s="9">
        <f>('SG1744L test #2'!B15 / 1.43567658)</f>
        <v>176.2235336</v>
      </c>
      <c r="C15" s="6">
        <f>'SG1744L test #2'!C15</f>
        <v>132.9735</v>
      </c>
    </row>
    <row r="16">
      <c r="A16" s="6">
        <f>'SG1744L test #2'!A16</f>
        <v>0.5</v>
      </c>
      <c r="B16" s="9">
        <f>('SG1744L test #2'!B16 / 1.43567658)</f>
        <v>207.5676403</v>
      </c>
      <c r="C16" s="6">
        <f>'SG1744L test #2'!C16</f>
        <v>152.8479</v>
      </c>
    </row>
    <row r="17">
      <c r="A17" s="6">
        <f>'SG1744L test #2'!A17</f>
        <v>0.5</v>
      </c>
      <c r="B17" s="9">
        <f>('SG1744L test #2'!B17 / 1.43567658)</f>
        <v>208.264176</v>
      </c>
      <c r="C17" s="6">
        <f>'SG1744L test #2'!C17</f>
        <v>155.8352</v>
      </c>
    </row>
    <row r="18">
      <c r="A18" s="6">
        <f>'SG1744L test #2'!A18</f>
        <v>0.52</v>
      </c>
      <c r="B18" s="9">
        <f>('SG1744L test #2'!B18 / 1.43567658)</f>
        <v>241.0013542</v>
      </c>
      <c r="C18" s="6">
        <f>'SG1744L test #2'!C18</f>
        <v>173.0249</v>
      </c>
    </row>
    <row r="19">
      <c r="A19" s="6">
        <f>'SG1744L test #2'!A19</f>
        <v>0.52</v>
      </c>
      <c r="B19" s="9">
        <f>('SG1744L test #2'!B19 / 1.43567658)</f>
        <v>240.3048185</v>
      </c>
      <c r="C19" s="6">
        <f>'SG1744L test #2'!C19</f>
        <v>174.5485</v>
      </c>
    </row>
    <row r="20">
      <c r="A20" s="6">
        <f>'SG1744L test #2'!A20</f>
        <v>0.54</v>
      </c>
      <c r="B20" s="9">
        <f>('SG1744L test #2'!B20 / 1.43567658)</f>
        <v>272.345461</v>
      </c>
      <c r="C20" s="6">
        <f>'SG1744L test #2'!C20</f>
        <v>191.072</v>
      </c>
    </row>
    <row r="21">
      <c r="A21" s="6">
        <f>'SG1744L test #2'!A21</f>
        <v>0.54</v>
      </c>
      <c r="B21" s="9">
        <f>('SG1744L test #2'!B21 / 1.43567658)</f>
        <v>276.5246752</v>
      </c>
      <c r="C21" s="6">
        <f>'SG1744L test #2'!C21</f>
        <v>201.4375</v>
      </c>
    </row>
    <row r="22">
      <c r="A22" s="6">
        <f>'SG1744L test #2'!A22</f>
        <v>0.56</v>
      </c>
      <c r="B22" s="9">
        <f>('SG1744L test #2'!B22 / 1.43567658)</f>
        <v>305.7791749</v>
      </c>
      <c r="C22" s="6">
        <f>'SG1744L test #2'!C22</f>
        <v>196.613</v>
      </c>
    </row>
    <row r="23">
      <c r="A23" s="6">
        <f>'SG1744L test #2'!A23</f>
        <v>0.56</v>
      </c>
      <c r="B23" s="9">
        <f>('SG1744L test #2'!B23 / 1.43567658)</f>
        <v>307.868782</v>
      </c>
      <c r="C23" s="6">
        <f>'SG1744L test #2'!C23</f>
        <v>220.5339</v>
      </c>
    </row>
    <row r="24">
      <c r="A24" s="6">
        <f>'SG1744L test #2'!A24</f>
        <v>0.58</v>
      </c>
      <c r="B24" s="9">
        <f>('SG1744L test #2'!B24 / 1.43567658)</f>
        <v>341.9990316</v>
      </c>
      <c r="C24" s="6">
        <f>'SG1744L test #2'!C24</f>
        <v>220.3131</v>
      </c>
    </row>
    <row r="25">
      <c r="A25" s="6">
        <f>'SG1744L test #2'!A25</f>
        <v>0.58</v>
      </c>
      <c r="B25" s="9">
        <f>('SG1744L test #2'!B25 / 1.43567658)</f>
        <v>341.9990316</v>
      </c>
      <c r="C25" s="6">
        <f>'SG1744L test #2'!C25</f>
        <v>249.4395</v>
      </c>
    </row>
    <row r="26">
      <c r="A26" s="6">
        <f>'SG1744L test #2'!A26</f>
        <v>0.6</v>
      </c>
      <c r="B26" s="9">
        <f>('SG1744L test #2'!B26 / 1.43567658)</f>
        <v>378.915424</v>
      </c>
      <c r="C26" s="6">
        <f>'SG1744L test #2'!C26</f>
        <v>269.7708</v>
      </c>
    </row>
    <row r="27">
      <c r="A27" s="6">
        <f>'SG1744L test #2'!A27</f>
        <v>0.6</v>
      </c>
      <c r="B27" s="9">
        <f>('SG1744L test #2'!B27 / 1.43567658)</f>
        <v>378.2188883</v>
      </c>
      <c r="C27" s="6">
        <f>'SG1744L test #2'!C27</f>
        <v>280.2037</v>
      </c>
    </row>
    <row r="28">
      <c r="A28" s="6" t="str">
        <f>'SG1744L test #2'!A28</f>
        <v/>
      </c>
      <c r="B28" s="6" t="str">
        <f>'SG1744L test #2'!B28</f>
        <v/>
      </c>
      <c r="C28" s="6" t="str">
        <f>'SG1744L test #2'!C28</f>
        <v/>
      </c>
    </row>
    <row r="29">
      <c r="A29" s="6" t="str">
        <f>'SG1744L test #2'!A29</f>
        <v/>
      </c>
      <c r="B29" s="6" t="str">
        <f>'SG1744L test #2'!B29</f>
        <v/>
      </c>
      <c r="C29" s="6" t="str">
        <f>'SG1744L test #2'!C29</f>
        <v/>
      </c>
    </row>
    <row r="30">
      <c r="A30" s="6" t="str">
        <f>'SG1744L test #2'!A30</f>
        <v/>
      </c>
      <c r="B30" s="6" t="str">
        <f>'SG1744L test #2'!B30</f>
        <v/>
      </c>
      <c r="C30" s="6" t="str">
        <f>'SG1744L test #2'!C30</f>
        <v/>
      </c>
    </row>
    <row r="31">
      <c r="A31" s="6" t="str">
        <f>'SG1744L test #2'!A31</f>
        <v/>
      </c>
      <c r="B31" s="6" t="str">
        <f>'SG1744L test #2'!B31</f>
        <v/>
      </c>
      <c r="C31" s="6" t="str">
        <f>'SG1744L test #2'!C31</f>
        <v/>
      </c>
    </row>
    <row r="32">
      <c r="A32" s="6" t="str">
        <f>'SG1744L test #2'!A32</f>
        <v/>
      </c>
      <c r="B32" s="6" t="str">
        <f>'SG1744L test #2'!B32</f>
        <v/>
      </c>
      <c r="C32" s="6" t="str">
        <f>'SG1744L test #2'!C32</f>
        <v/>
      </c>
    </row>
    <row r="33">
      <c r="A33" s="6" t="str">
        <f>'SG1744L test #2'!A33</f>
        <v/>
      </c>
      <c r="B33" s="6" t="str">
        <f>'SG1744L test #2'!B33</f>
        <v/>
      </c>
      <c r="C33" s="6" t="str">
        <f>'SG1744L test #2'!C33</f>
        <v/>
      </c>
    </row>
    <row r="34">
      <c r="A34" s="6" t="str">
        <f>'SG1744L test #2'!A34</f>
        <v/>
      </c>
      <c r="B34" s="6" t="str">
        <f>'SG1744L test #2'!B34</f>
        <v/>
      </c>
      <c r="C34" s="6" t="str">
        <f>'SG1744L test #2'!C34</f>
        <v/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</row>
    <row r="2">
      <c r="A2" s="1">
        <v>0.0</v>
      </c>
      <c r="B2" s="1">
        <v>0.0</v>
      </c>
      <c r="C2" s="1">
        <v>-0.17658</v>
      </c>
    </row>
    <row r="7">
      <c r="A7" s="1">
        <v>0.5</v>
      </c>
      <c r="B7" s="1">
        <v>215.0</v>
      </c>
    </row>
    <row r="9">
      <c r="D9" s="1" t="s">
        <v>14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7.5"/>
  </cols>
  <sheetData>
    <row r="1">
      <c r="A1" s="1" t="s">
        <v>15</v>
      </c>
      <c r="B1" s="1" t="s">
        <v>16</v>
      </c>
      <c r="C1" s="1" t="s">
        <v>17</v>
      </c>
    </row>
    <row r="2">
      <c r="A2" s="1" t="s">
        <v>18</v>
      </c>
      <c r="B2" s="1">
        <v>9.6</v>
      </c>
      <c r="C2" s="1">
        <v>37.5</v>
      </c>
    </row>
  </sheetData>
  <drawing r:id="rId1"/>
</worksheet>
</file>